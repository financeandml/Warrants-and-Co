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ergi\Downloads\Warrants&amp;co\PROYECTOS VERANO\QUANTUM\"/>
    </mc:Choice>
  </mc:AlternateContent>
  <xr:revisionPtr revIDLastSave="0" documentId="13_ncr:1_{C50BED5E-E431-410C-BE27-40EBB3B7AAB2}" xr6:coauthVersionLast="47" xr6:coauthVersionMax="47" xr10:uidLastSave="{00000000-0000-0000-0000-000000000000}"/>
  <bookViews>
    <workbookView xWindow="28692" yWindow="-108" windowWidth="29016" windowHeight="15696" tabRatio="500" activeTab="1" xr2:uid="{00000000-000D-0000-FFFF-FFFF00000000}"/>
  </bookViews>
  <sheets>
    <sheet name="Texto mostrado" sheetId="2" r:id="rId1"/>
    <sheet name="Hoja1" sheetId="1" r:id="rId2"/>
  </sheets>
  <definedNames>
    <definedName name="DatosExternos_1" localSheetId="0" hidden="1">'Texto mostrado'!$A$1:$A$2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55" i="1" l="1"/>
  <c r="E55" i="1"/>
  <c r="F54" i="1"/>
  <c r="E54" i="1"/>
  <c r="F53" i="1"/>
  <c r="E53" i="1"/>
  <c r="F52" i="1"/>
  <c r="E52" i="1"/>
  <c r="F51" i="1"/>
  <c r="E51" i="1"/>
  <c r="F50" i="1"/>
  <c r="E50" i="1"/>
  <c r="E49" i="1"/>
  <c r="F48" i="1"/>
  <c r="E48" i="1"/>
  <c r="F47" i="1"/>
  <c r="E47" i="1"/>
  <c r="F46" i="1"/>
  <c r="E46" i="1"/>
  <c r="E45" i="1"/>
  <c r="F44" i="1"/>
  <c r="E44" i="1"/>
  <c r="F43" i="1"/>
  <c r="E43" i="1"/>
  <c r="E42" i="1"/>
  <c r="F41" i="1"/>
  <c r="E41" i="1"/>
  <c r="F40" i="1"/>
  <c r="E40" i="1"/>
  <c r="E39" i="1"/>
  <c r="F38" i="1"/>
  <c r="E38" i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E12" i="1"/>
  <c r="E11" i="1"/>
  <c r="F10" i="1"/>
  <c r="E10" i="1"/>
  <c r="F9" i="1"/>
  <c r="E9" i="1"/>
  <c r="F8" i="1"/>
  <c r="E8" i="1"/>
  <c r="E7" i="1"/>
  <c r="F6" i="1"/>
  <c r="E6" i="1"/>
  <c r="F5" i="1"/>
  <c r="E5" i="1"/>
  <c r="F4" i="1"/>
  <c r="E4" i="1"/>
  <c r="F3" i="1"/>
  <c r="E3" i="1"/>
  <c r="F2" i="1"/>
  <c r="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sergio de santiago</author>
  </authors>
  <commentList>
    <comment ref="F1" authorId="0" shapeId="0" xr:uid="{83DC9CDF-4C74-4C8F-AD81-0E6ADA2C1FF4}">
      <text>
        <r>
          <rPr>
            <b/>
            <sz val="9"/>
            <color indexed="81"/>
            <rFont val="Tahoma"/>
            <charset val="1"/>
          </rPr>
          <t>sergio de santiago:</t>
        </r>
        <r>
          <rPr>
            <sz val="9"/>
            <color indexed="81"/>
            <rFont val="Tahoma"/>
            <charset val="1"/>
          </rPr>
          <t xml:space="preserve">
Estado de verificación contra Yahoo Finance. Abre la URL de la columna E: si la página carga con el nombre del emisor de la columna A, marca OK; si Yahoo muestra otro nombre (cambio de denominación), marca Renombrado y anótalo en G; si da error o no encuentra el valor, marca Revisar.</t>
        </r>
      </text>
    </comment>
    <comment ref="D7" authorId="0" shapeId="0" xr:uid="{63022A7F-9917-4449-BFD4-EA70B4D323E8}">
      <text>
        <r>
          <rPr>
            <b/>
            <sz val="9"/>
            <color indexed="81"/>
            <rFont val="Tahoma"/>
            <charset val="1"/>
          </rPr>
          <t>sergio de santiago:</t>
        </r>
        <r>
          <rPr>
            <sz val="9"/>
            <color indexed="81"/>
            <rFont val="Tahoma"/>
            <charset val="1"/>
          </rPr>
          <t xml:space="preserve">
OK verificado: DIA.MC cotiza en el Mercado Continuo (MCE), EUR. Fuente: Yahoo Finance, https://finance.yahoo.com/quote/DIA.MC/</t>
        </r>
      </text>
    </comment>
    <comment ref="D11" authorId="0" shapeId="0" xr:uid="{4BA5BDD8-E0D2-4C8D-A206-0449AB874B2A}">
      <text>
        <r>
          <rPr>
            <b/>
            <sz val="9"/>
            <color indexed="81"/>
            <rFont val="Tahoma"/>
            <charset val="1"/>
          </rPr>
          <t>OK verificado: AYV.PA = AYVENS (antes ALD S.A., renombrada mayo 2024), Euronext Paris, EUR. Fuente: Yahoo Finance, https://finance.yahoo.com/quote/AYV.PA/</t>
        </r>
      </text>
    </comment>
    <comment ref="D12" authorId="0" shapeId="0" xr:uid="{04E2AA92-4D76-40FA-8080-F8B53F1A6695}">
      <text>
        <r>
          <rPr>
            <b/>
            <sz val="9"/>
            <color indexed="81"/>
            <rFont val="Tahoma"/>
            <charset val="1"/>
          </rPr>
          <t>OK verificado: 6989.HK = Excellence Commercial Property &amp; Facilities Management Group Ltd, HKSE, HKD. Fuente: Yahoo Finance, https://finance.yahoo.com/quote/6989.HK/</t>
        </r>
      </text>
    </comment>
    <comment ref="D16" authorId="0" shapeId="0" xr:uid="{BA0782F4-2A51-42D7-A69B-7C608A1ED270}">
      <text>
        <r>
          <rPr>
            <b/>
            <sz val="9"/>
            <color indexed="81"/>
            <rFont val="Tahoma"/>
            <charset val="1"/>
          </rPr>
          <t>sergio de santiago:</t>
        </r>
        <r>
          <rPr>
            <sz val="9"/>
            <color indexed="81"/>
            <rFont val="Tahoma"/>
            <charset val="1"/>
          </rPr>
          <t xml:space="preserve">
Clase subordinada en USD cotizada en Toronto</t>
        </r>
      </text>
    </comment>
    <comment ref="D22" authorId="0" shapeId="0" xr:uid="{33139F31-5272-456B-B274-FCEF6E49C2F2}">
      <text>
        <r>
          <rPr>
            <b/>
            <sz val="9"/>
            <color indexed="81"/>
            <rFont val="Tahoma"/>
            <charset val="1"/>
          </rPr>
          <t>Verificado en Yahoo Finance: Constellation Oil Services Holding S.A. (COSH.OL), Oslo Børs, NOK. Fuente: Yahoo Finance, https://finance.yahoo.com/quote/COSH.OL/</t>
        </r>
      </text>
    </comment>
    <comment ref="D31" authorId="0" shapeId="0" xr:uid="{0B56E284-979E-4D6F-A067-6D24BF933A6B}">
      <text>
        <r>
          <rPr>
            <b/>
            <sz val="9"/>
            <color indexed="81"/>
            <rFont val="Tahoma"/>
            <charset val="1"/>
          </rPr>
          <t>sergio de santiago:</t>
        </r>
        <r>
          <rPr>
            <sz val="9"/>
            <color indexed="81"/>
            <rFont val="Tahoma"/>
            <charset val="1"/>
          </rPr>
          <t xml:space="preserve">
ADR en USD; acción local: NPN.JO</t>
        </r>
      </text>
    </comment>
    <comment ref="D39" authorId="0" shapeId="0" xr:uid="{97303B17-5E04-4D4F-B7F4-389AAB6F98E9}">
      <text>
        <r>
          <rPr>
            <b/>
            <sz val="9"/>
            <color indexed="81"/>
            <rFont val="Tahoma"/>
            <charset val="1"/>
          </rPr>
          <t>sergio de santiago:</t>
        </r>
        <r>
          <rPr>
            <sz val="9"/>
            <color indexed="81"/>
            <rFont val="Tahoma"/>
            <charset val="1"/>
          </rPr>
          <t xml:space="preserve">
OK verificado: SEM.LS = Semapa SGPS, Euronext Lisboa, EUR. Fuente: Yahoo Finance, https://finance.yahoo.com/quote/SEM.LS/</t>
        </r>
      </text>
    </comment>
    <comment ref="D42" authorId="0" shapeId="0" xr:uid="{C678B25B-D4AE-4BAD-97E0-21800AFD9147}">
      <text>
        <r>
          <rPr>
            <b/>
            <sz val="9"/>
            <color indexed="81"/>
            <rFont val="Tahoma"/>
            <charset val="1"/>
          </rPr>
          <t>OK verificado: GLIBK = serie C (Nasdaq). Aviso: en mayo-2026 GCI Liberty pasó a llamarse Liberty Capital Corporation; el ticker GLIBK se mantiene. Fuente: Yahoo Finance, https://finance.yahoo.com/quote/GLIBK/</t>
        </r>
      </text>
    </comment>
    <comment ref="D45" authorId="0" shapeId="0" xr:uid="{F114DC24-0909-4882-B422-5170038CEBDE}">
      <text>
        <r>
          <rPr>
            <b/>
            <sz val="9"/>
            <color indexed="81"/>
            <rFont val="Tahoma"/>
            <charset val="1"/>
          </rPr>
          <t>Verificado en Yahoo Finance: Starjoy Wellness and Travel Company Limited (3662.HK), HKD. Fuente: Yahoo Finance, https://finance.yahoo.com/quote/1895.HK/</t>
        </r>
      </text>
    </comment>
    <comment ref="D49" authorId="0" shapeId="0" xr:uid="{9FEAE75A-F6D6-4E9A-AD7F-CF528D2BB0A7}">
      <text>
        <r>
          <rPr>
            <b/>
            <sz val="9"/>
            <color indexed="81"/>
            <rFont val="Tahoma"/>
            <charset val="1"/>
          </rPr>
          <t>sergio de santiago:</t>
        </r>
        <r>
          <rPr>
            <sz val="9"/>
            <color indexed="81"/>
            <rFont val="Tahoma"/>
            <charset val="1"/>
          </rPr>
          <t xml:space="preserve">
COF.MI ya no existe: COFIDE - Gruppo De Benedetti absorbió CIR en feb-2020 y pasó a denominarse CIR S.p.A. (Borsa Italiana: CIR). Fuente: Wikipedia/MarketScreener, https://www.marketscreener.com/quote/stock/CIR-S-P-A-COMPAGNIE-INDUS-69564/ — conviene actualizar también el nombre del emisor a 'CIR SpA'.</t>
        </r>
      </text>
    </comment>
    <comment ref="D55" authorId="0" shapeId="0" xr:uid="{2678D583-B4A1-4E1A-A345-166F0F62EDA8}">
      <text>
        <r>
          <rPr>
            <b/>
            <sz val="9"/>
            <color indexed="81"/>
            <rFont val="Tahoma"/>
            <charset val="1"/>
          </rPr>
          <t>sergio de santiago:</t>
        </r>
        <r>
          <rPr>
            <sz val="9"/>
            <color indexed="81"/>
            <rFont val="Tahoma"/>
            <charset val="1"/>
          </rPr>
          <t xml:space="preserve">
Liquidez: no es una posición cotizada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6E92ED-8857-4B82-BB8A-52379FB1A890}" keepAlive="1" name="Consulta - Texto mostrado" description="Conexión a la consulta 'Texto mostrado' en el libro." type="5" refreshedVersion="8" background="1" saveData="1">
    <dbPr connection="Provider=Microsoft.Mashup.OleDb.1;Data Source=$Workbook$;Location=&quot;Texto mostrado&quot;;Extended Properties=&quot;&quot;" command="SELECT * FROM [Texto mostrado]"/>
  </connection>
</connections>
</file>

<file path=xl/sharedStrings.xml><?xml version="1.0" encoding="utf-8"?>
<sst xmlns="http://schemas.openxmlformats.org/spreadsheetml/2006/main" count="187" uniqueCount="134">
  <si>
    <t>emisor</t>
  </si>
  <si>
    <t>ticker_yahoo</t>
  </si>
  <si>
    <t>divisa</t>
  </si>
  <si>
    <t>Merlin Properties Socimi SA</t>
  </si>
  <si>
    <t>MRL.MC</t>
  </si>
  <si>
    <t>EUR</t>
  </si>
  <si>
    <t>Talgo S.A</t>
  </si>
  <si>
    <t>TLGO.MC</t>
  </si>
  <si>
    <t>Gestamp Automocion SA</t>
  </si>
  <si>
    <t>GEST.MC</t>
  </si>
  <si>
    <t>Corp Acciona Energias Renovable</t>
  </si>
  <si>
    <t>ANE.MC</t>
  </si>
  <si>
    <t>Acerinox SA</t>
  </si>
  <si>
    <t>ACX.MC</t>
  </si>
  <si>
    <t>Distribuidora Internacional de Alim. (DIA)</t>
  </si>
  <si>
    <t>DIA.MC</t>
  </si>
  <si>
    <t>Sol Melia (Meliá Hotels Int.)</t>
  </si>
  <si>
    <t>MEL.MC</t>
  </si>
  <si>
    <t>Amrest Holdings</t>
  </si>
  <si>
    <t>EAT.WA</t>
  </si>
  <si>
    <t>PLN</t>
  </si>
  <si>
    <t>Zigup PLC</t>
  </si>
  <si>
    <t>ZIG.L</t>
  </si>
  <si>
    <t>GBP</t>
  </si>
  <si>
    <t>ALD SA</t>
  </si>
  <si>
    <t>Excellence Comercial Property</t>
  </si>
  <si>
    <t>HKD</t>
  </si>
  <si>
    <t>Nagacorp Ltd</t>
  </si>
  <si>
    <t>3918.HK</t>
  </si>
  <si>
    <t>Seadrill Ltd</t>
  </si>
  <si>
    <t>USD</t>
  </si>
  <si>
    <t>Tai Cheung Holdings (88 HK)</t>
  </si>
  <si>
    <t>Fairfax India Holdings Corp</t>
  </si>
  <si>
    <t>FIH-U.TO</t>
  </si>
  <si>
    <t>Ajisen China Holdings Ltd</t>
  </si>
  <si>
    <t>TGS Nopec Geo</t>
  </si>
  <si>
    <t>TGS.OL</t>
  </si>
  <si>
    <t>NOK</t>
  </si>
  <si>
    <t>Azimut Holding SPA</t>
  </si>
  <si>
    <t>AZM.MI</t>
  </si>
  <si>
    <t>Onex Corporation</t>
  </si>
  <si>
    <t>ONEX.TO</t>
  </si>
  <si>
    <t>CAD</t>
  </si>
  <si>
    <t>Expro Group Holdings NV</t>
  </si>
  <si>
    <t>XPRO</t>
  </si>
  <si>
    <t>Constellation Oil Services</t>
  </si>
  <si>
    <t>Keck Seng Investments</t>
  </si>
  <si>
    <t>Booking Holdings Inc</t>
  </si>
  <si>
    <t>BKNG</t>
  </si>
  <si>
    <t>Sun Hung Kai and Co Ltd</t>
  </si>
  <si>
    <t>Renault</t>
  </si>
  <si>
    <t>RNO.PA</t>
  </si>
  <si>
    <t>Aubay</t>
  </si>
  <si>
    <t>AUB.PA</t>
  </si>
  <si>
    <t>BMW</t>
  </si>
  <si>
    <t>BMW.DE</t>
  </si>
  <si>
    <t>Kaisa Prosperity Holdings</t>
  </si>
  <si>
    <t>2168.HK</t>
  </si>
  <si>
    <t>Liberty Global Ltd-C (LBTYK)</t>
  </si>
  <si>
    <t>LBTYK</t>
  </si>
  <si>
    <t>Naspers Ltd</t>
  </si>
  <si>
    <t>NPSNY</t>
  </si>
  <si>
    <t>Asia Standard Intl Group</t>
  </si>
  <si>
    <t>Aperam W/I</t>
  </si>
  <si>
    <t>APAM.AS</t>
  </si>
  <si>
    <t>Tang Palace China Holdings</t>
  </si>
  <si>
    <t>1181.HK</t>
  </si>
  <si>
    <t>Sopra Group (Sopra Steria)</t>
  </si>
  <si>
    <t>SOP.PA</t>
  </si>
  <si>
    <t>PayPal Holdings Inc</t>
  </si>
  <si>
    <t>PYPL</t>
  </si>
  <si>
    <t>Jupiter Fund Management PLC</t>
  </si>
  <si>
    <t>JUP.L</t>
  </si>
  <si>
    <t>Time Watch Investments Ltd</t>
  </si>
  <si>
    <t>Semapa Sociedade de Investimento</t>
  </si>
  <si>
    <t>SEM.LS</t>
  </si>
  <si>
    <t>Exor N.V.</t>
  </si>
  <si>
    <t>Antin Infrastructure Partners S.</t>
  </si>
  <si>
    <t>ANTIN.PA</t>
  </si>
  <si>
    <t>GCI Liberty Inc CL C</t>
  </si>
  <si>
    <t>Pluxee</t>
  </si>
  <si>
    <t>PLX.PA</t>
  </si>
  <si>
    <t>LNA Sante</t>
  </si>
  <si>
    <t>LNA.PA</t>
  </si>
  <si>
    <t>Starjoy Wellness and Travel Com</t>
  </si>
  <si>
    <t>Zegona Communications PLC</t>
  </si>
  <si>
    <t>ZEG.L</t>
  </si>
  <si>
    <t>Sonae SGPS SA</t>
  </si>
  <si>
    <t>SON.LS</t>
  </si>
  <si>
    <t>Groupe Guillin</t>
  </si>
  <si>
    <t>ALGIL.PA</t>
  </si>
  <si>
    <t>Cofide</t>
  </si>
  <si>
    <t>Verallia</t>
  </si>
  <si>
    <t>VRLA.PA</t>
  </si>
  <si>
    <t>Noah Holdings Ltd</t>
  </si>
  <si>
    <t>NOAH</t>
  </si>
  <si>
    <t>N/A</t>
  </si>
  <si>
    <t>Suzano</t>
  </si>
  <si>
    <t>BRL</t>
  </si>
  <si>
    <t>Bolloré</t>
  </si>
  <si>
    <t>BOL.PA</t>
  </si>
  <si>
    <t>Compagnie de l'Odet</t>
  </si>
  <si>
    <t>ODET.PA</t>
  </si>
  <si>
    <t>Liquidez / Efectivo (no son posiciones de RV)</t>
  </si>
  <si>
    <t>peso norm</t>
  </si>
  <si>
    <t>AYV.PA</t>
  </si>
  <si>
    <t>6989.HK</t>
  </si>
  <si>
    <t>SDRL</t>
  </si>
  <si>
    <t>0088.HK</t>
  </si>
  <si>
    <t>0538.HK</t>
  </si>
  <si>
    <t>0184.HK</t>
  </si>
  <si>
    <t>0086.HK</t>
  </si>
  <si>
    <t>0129.HK</t>
  </si>
  <si>
    <t>2033.HK</t>
  </si>
  <si>
    <t>EXO.AS</t>
  </si>
  <si>
    <t>GLIBK</t>
  </si>
  <si>
    <t>SUZB3.SA</t>
  </si>
  <si>
    <t>COSH.OL</t>
  </si>
  <si>
    <t>3662.HK</t>
  </si>
  <si>
    <t>CIR.MI</t>
  </si>
  <si>
    <t>url_yahoo</t>
  </si>
  <si>
    <t>estado</t>
  </si>
  <si>
    <t>nombre en yahoo / notas</t>
  </si>
  <si>
    <t>Texto mostrado</t>
  </si>
  <si>
    <t>Yahoo EspañaConfiguraciónCorreoFinanzasAyudaConfiguración34° C Madrid ¡Buenas noches! Hoy es el 28 de julio. Search queryEsperando permisoPermitir el acceso al micrófono para activar la búsqueda por voz Lo más buscado 1 Kiko Rivera 2 Real Jaén 3 Unai Simón 4 Alba Carrillo 5 Pedro Sánchez 6 Incendios en Madrid 7 Bernarda Vera 8 Miguel Bosé 9 Anuel AA 10 Elmer Cuba ConfiguraciónInformar de un problemaAyudaPrivacidadCondicionesContacto de la DSA de la UEConfiguración de privacidad y cookies</t>
  </si>
  <si>
    <t>OK</t>
  </si>
  <si>
    <t>Distribuidora Internacional de Alimentación, S.A. — MCE, EUR</t>
  </si>
  <si>
    <t>AYVENS — Paris, EUR (antes ALD S.A.)</t>
  </si>
  <si>
    <t>Excellence Commercial Property &amp; Facilities Management Group Ltd — HKSE, HKD</t>
  </si>
  <si>
    <t>Constellation Oil Services Holding S.A. — Oslo Børs, NOK</t>
  </si>
  <si>
    <t>Semapa - Sociedade de Investimento e Gestão, SGPS, S.A. — Euronext Lisboa, EUR</t>
  </si>
  <si>
    <t>Liberty Capital Corporation (antes GCI Liberty) — NasdaqGS, USD</t>
  </si>
  <si>
    <t>Starjoy Wellness and Travel Company Limited — HKSE, HKD</t>
  </si>
  <si>
    <t>CIR S.p.A. - Compagnie Industriali Riunite (antes COFIDE) — Borsa Italiana, 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</si>
</sst>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1"/>
      <color theme="1"/>
      <name val="Calibri"/>
      <family val="2"/>
      <charset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0000FF"/>
      <name val="Calibri"/>
      <family val="2"/>
      <charset val="1"/>
    </font>
    <font>
      <b/>
      <sz val="10"/>
      <color rgb="FFFFFFFF"/>
      <name val="Arial"/>
    </font>
    <font>
      <sz val="9"/>
      <color rgb="FF0563C1"/>
      <name val="Arial"/>
    </font>
    <font>
      <sz val="10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7A1F3D"/>
        <bgColor rgb="FF993366"/>
      </patternFill>
    </fill>
    <fill>
      <patternFill patternType="solid">
        <fgColor rgb="FFD6E4F0"/>
        <bgColor rgb="FFCCFFFF"/>
      </patternFill>
    </fill>
    <fill>
      <patternFill patternType="solid">
        <fgColor rgb="FFFFF3CD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7A1F3D"/>
        <bgColor indexed="64"/>
      </patternFill>
    </fill>
  </fills>
  <borders count="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10" fontId="2" fillId="0" borderId="1" xfId="0" applyNumberFormat="1" applyFont="1" applyBorder="1"/>
    <xf numFmtId="0" fontId="2" fillId="3" borderId="1" xfId="0" applyFont="1" applyFill="1" applyBorder="1"/>
    <xf numFmtId="10" fontId="2" fillId="3" borderId="1" xfId="0" applyNumberFormat="1" applyFont="1" applyFill="1" applyBorder="1"/>
    <xf numFmtId="0" fontId="2" fillId="4" borderId="1" xfId="0" applyFont="1" applyFill="1" applyBorder="1"/>
    <xf numFmtId="10" fontId="2" fillId="4" borderId="1" xfId="0" applyNumberFormat="1" applyFont="1" applyFill="1" applyBorder="1"/>
    <xf numFmtId="10" fontId="0" fillId="0" borderId="0" xfId="0" applyNumberFormat="1"/>
    <xf numFmtId="10" fontId="1" fillId="2" borderId="1" xfId="0" applyNumberFormat="1" applyFont="1" applyFill="1" applyBorder="1" applyAlignment="1">
      <alignment horizontal="center"/>
    </xf>
    <xf numFmtId="0" fontId="3" fillId="0" borderId="0" xfId="0" applyFont="1"/>
    <xf numFmtId="0" fontId="6" fillId="5" borderId="0" xfId="0" applyFont="1" applyFill="1"/>
    <xf numFmtId="0" fontId="6" fillId="0" borderId="0" xfId="0" applyFont="1"/>
    <xf numFmtId="0" fontId="0" fillId="0" borderId="0" xfId="0" applyNumberFormat="1"/>
    <xf numFmtId="0" fontId="7" fillId="6" borderId="2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/>
    </xf>
    <xf numFmtId="0" fontId="7" fillId="6" borderId="4" xfId="0" applyFont="1" applyFill="1" applyBorder="1" applyAlignment="1">
      <alignment horizontal="center"/>
    </xf>
    <xf numFmtId="0" fontId="8" fillId="0" borderId="5" xfId="0" applyFont="1" applyBorder="1"/>
    <xf numFmtId="0" fontId="9" fillId="0" borderId="6" xfId="0" applyFont="1" applyBorder="1" applyAlignment="1">
      <alignment horizontal="center"/>
    </xf>
    <xf numFmtId="0" fontId="0" fillId="0" borderId="7" xfId="0" applyBorder="1"/>
  </cellXfs>
  <cellStyles count="1">
    <cellStyle name="Normal" xfId="0" builtinId="0"/>
  </cellStyles>
  <dxfs count="5">
    <dxf>
      <font>
        <color rgb="FF595959"/>
      </font>
      <fill>
        <patternFill patternType="solid">
          <fgColor indexed="64"/>
          <bgColor rgb="FFF2F2F2"/>
        </patternFill>
      </fill>
    </dxf>
    <dxf>
      <font>
        <color rgb="FF8A6100"/>
      </font>
      <fill>
        <patternFill patternType="solid">
          <fgColor indexed="64"/>
          <bgColor rgb="FFFFF3CD"/>
        </patternFill>
      </fill>
    </dxf>
    <dxf>
      <font>
        <color rgb="FFB00020"/>
      </font>
      <fill>
        <patternFill patternType="solid">
          <fgColor indexed="64"/>
          <bgColor rgb="FFFCE4E4"/>
        </patternFill>
      </fill>
    </dxf>
    <dxf>
      <font>
        <color rgb="FF1E6B33"/>
      </font>
      <fill>
        <patternFill patternType="solid">
          <fgColor indexed="64"/>
          <bgColor rgb="FFE2EFDA"/>
        </patternFill>
      </fill>
    </dxf>
    <dxf>
      <numFmt numFmtId="0" formatCode="General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7A1F3D"/>
      <rgbColor rgb="FFFFF3CD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F91DB2C-4849-489F-919D-C54D7A035CB1}" autoFormatId="16" applyNumberFormats="0" applyBorderFormats="0" applyFontFormats="0" applyPatternFormats="0" applyAlignmentFormats="0" applyWidthHeightFormats="0">
  <queryTableRefresh nextId="2">
    <queryTableFields count="1">
      <queryTableField id="1" name="Texto mostrado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BDC60B-26BC-43DD-9EEC-FD1FAAC0704E}" name="Texto_mostrado" displayName="Texto_mostrado" ref="A1:A2" tableType="queryTable" totalsRowShown="0">
  <autoFilter ref="A1:A2" xr:uid="{50BDC60B-26BC-43DD-9EEC-FD1FAAC0704E}"/>
  <tableColumns count="1">
    <tableColumn id="1" xr3:uid="{08E0C346-0F9C-4D87-89F9-DE0572D36670}" uniqueName="1" name="Texto mostrado" queryTableFieldId="1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8A0BF7D-6F3B-4996-A1E8-C01B5FA77B1D}">
  <we:reference id="wa200009404" version="1.0.0.8" store="es-ES" storeType="OMEX"/>
  <we:alternateReferences>
    <we:reference id="WA200009404" version="1.0.0.8" store="en-US" storeType="OMEX"/>
  </we:alternateReferences>
  <we:properties>
    <we:property name="claude.fileId" value="&quot;7381402f-9657-47f9-81d6-f06f3501d02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1E659-794C-4E26-B22C-660FA7638F1F}">
  <dimension ref="A1:A2"/>
  <sheetViews>
    <sheetView workbookViewId="0"/>
  </sheetViews>
  <sheetFormatPr baseColWidth="10" defaultRowHeight="14.4" x14ac:dyDescent="0.3"/>
  <cols>
    <col min="1" max="1" width="80.88671875" bestFit="1" customWidth="1"/>
  </cols>
  <sheetData>
    <row r="1" spans="1:1" x14ac:dyDescent="0.3">
      <c r="A1" t="s">
        <v>123</v>
      </c>
    </row>
    <row r="2" spans="1:1" x14ac:dyDescent="0.3">
      <c r="A2" s="13" t="s">
        <v>124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"/>
  <sheetViews>
    <sheetView tabSelected="1" zoomScale="85" zoomScaleNormal="85" workbookViewId="0">
      <pane ySplit="1" topLeftCell="A19" activePane="bottomLeft" state="frozen"/>
      <selection pane="bottomLeft" activeCell="D49" sqref="D49"/>
    </sheetView>
  </sheetViews>
  <sheetFormatPr baseColWidth="10" defaultColWidth="8.6640625" defaultRowHeight="14.4" x14ac:dyDescent="0.3"/>
  <cols>
    <col min="1" max="1" width="34" customWidth="1"/>
    <col min="2" max="2" width="8" customWidth="1"/>
    <col min="3" max="3" width="16.33203125" style="8" customWidth="1"/>
    <col min="4" max="4" width="20.88671875" customWidth="1"/>
    <col min="5" max="5" width="46.6640625" customWidth="1"/>
    <col min="6" max="6" width="14.77734375" customWidth="1"/>
    <col min="7" max="7" width="59.21875" customWidth="1"/>
  </cols>
  <sheetData>
    <row r="1" spans="1:7" ht="15" customHeight="1" x14ac:dyDescent="0.3">
      <c r="A1" s="1" t="s">
        <v>0</v>
      </c>
      <c r="B1" s="1" t="s">
        <v>2</v>
      </c>
      <c r="C1" s="9" t="s">
        <v>104</v>
      </c>
      <c r="D1" s="10" t="s">
        <v>1</v>
      </c>
      <c r="E1" s="14" t="s">
        <v>120</v>
      </c>
      <c r="F1" s="15" t="s">
        <v>121</v>
      </c>
      <c r="G1" s="16" t="s">
        <v>122</v>
      </c>
    </row>
    <row r="2" spans="1:7" ht="15" customHeight="1" x14ac:dyDescent="0.3">
      <c r="A2" s="2" t="s">
        <v>3</v>
      </c>
      <c r="B2" s="2" t="s">
        <v>5</v>
      </c>
      <c r="C2" s="3">
        <v>1.2993604710181701E-2</v>
      </c>
      <c r="D2" t="s">
        <v>4</v>
      </c>
      <c r="E2" s="17" t="str">
        <f>IF($D2="N/A","","https://finance.yahoo.com/quote/"&amp;$D2&amp;"/")</f>
        <v>https://finance.yahoo.com/quote/MRL.MC/</v>
      </c>
      <c r="F2" s="18" t="str">
        <f>IF($D2="N/A","No cotiza","Pendiente")</f>
        <v>Pendiente</v>
      </c>
      <c r="G2" s="19"/>
    </row>
    <row r="3" spans="1:7" ht="15" customHeight="1" x14ac:dyDescent="0.3">
      <c r="A3" s="2" t="s">
        <v>6</v>
      </c>
      <c r="B3" s="2" t="s">
        <v>5</v>
      </c>
      <c r="C3" s="3">
        <v>0</v>
      </c>
      <c r="D3" t="s">
        <v>7</v>
      </c>
      <c r="E3" s="17" t="str">
        <f t="shared" ref="E3:E55" si="0">IF($D3="N/A","","https://finance.yahoo.com/quote/"&amp;$D3&amp;"/")</f>
        <v>https://finance.yahoo.com/quote/TLGO.MC/</v>
      </c>
      <c r="F3" s="18" t="str">
        <f t="shared" ref="F3:F55" si="1">IF($D3="N/A","No cotiza","Pendiente")</f>
        <v>Pendiente</v>
      </c>
      <c r="G3" s="19"/>
    </row>
    <row r="4" spans="1:7" ht="15" customHeight="1" x14ac:dyDescent="0.3">
      <c r="A4" s="2" t="s">
        <v>8</v>
      </c>
      <c r="B4" s="2" t="s">
        <v>5</v>
      </c>
      <c r="C4" s="3">
        <v>3.3905187290630398E-2</v>
      </c>
      <c r="D4" t="s">
        <v>9</v>
      </c>
      <c r="E4" s="17" t="str">
        <f t="shared" si="0"/>
        <v>https://finance.yahoo.com/quote/GEST.MC/</v>
      </c>
      <c r="F4" s="18" t="str">
        <f t="shared" si="1"/>
        <v>Pendiente</v>
      </c>
      <c r="G4" s="19"/>
    </row>
    <row r="5" spans="1:7" ht="15" customHeight="1" x14ac:dyDescent="0.3">
      <c r="A5" s="4" t="s">
        <v>10</v>
      </c>
      <c r="B5" s="4" t="s">
        <v>5</v>
      </c>
      <c r="C5" s="5">
        <v>3.5529387879403102E-2</v>
      </c>
      <c r="D5" t="s">
        <v>11</v>
      </c>
      <c r="E5" s="17" t="str">
        <f t="shared" si="0"/>
        <v>https://finance.yahoo.com/quote/ANE.MC/</v>
      </c>
      <c r="F5" s="18" t="str">
        <f t="shared" si="1"/>
        <v>Pendiente</v>
      </c>
      <c r="G5" s="19"/>
    </row>
    <row r="6" spans="1:7" ht="15" customHeight="1" x14ac:dyDescent="0.3">
      <c r="A6" s="2" t="s">
        <v>12</v>
      </c>
      <c r="B6" s="2" t="s">
        <v>5</v>
      </c>
      <c r="C6" s="3">
        <v>0</v>
      </c>
      <c r="D6" t="s">
        <v>13</v>
      </c>
      <c r="E6" s="17" t="str">
        <f t="shared" si="0"/>
        <v>https://finance.yahoo.com/quote/ACX.MC/</v>
      </c>
      <c r="F6" s="18" t="str">
        <f t="shared" si="1"/>
        <v>Pendiente</v>
      </c>
      <c r="G6" s="19"/>
    </row>
    <row r="7" spans="1:7" ht="15" customHeight="1" x14ac:dyDescent="0.3">
      <c r="A7" s="2" t="s">
        <v>14</v>
      </c>
      <c r="B7" s="2" t="s">
        <v>5</v>
      </c>
      <c r="C7" s="3">
        <v>2.2028220485229899E-2</v>
      </c>
      <c r="D7" t="s">
        <v>15</v>
      </c>
      <c r="E7" s="17" t="str">
        <f t="shared" si="0"/>
        <v>https://finance.yahoo.com/quote/DIA.MC/</v>
      </c>
      <c r="F7" s="18" t="s">
        <v>125</v>
      </c>
      <c r="G7" s="19" t="s">
        <v>126</v>
      </c>
    </row>
    <row r="8" spans="1:7" ht="15" customHeight="1" x14ac:dyDescent="0.3">
      <c r="A8" s="4" t="s">
        <v>16</v>
      </c>
      <c r="B8" s="4" t="s">
        <v>5</v>
      </c>
      <c r="C8" s="5">
        <v>3.4514262511420202E-2</v>
      </c>
      <c r="D8" t="s">
        <v>17</v>
      </c>
      <c r="E8" s="17" t="str">
        <f t="shared" si="0"/>
        <v>https://finance.yahoo.com/quote/MEL.MC/</v>
      </c>
      <c r="F8" s="18" t="str">
        <f t="shared" si="1"/>
        <v>Pendiente</v>
      </c>
      <c r="G8" s="19"/>
    </row>
    <row r="9" spans="1:7" ht="15" customHeight="1" x14ac:dyDescent="0.3">
      <c r="A9" s="2" t="s">
        <v>18</v>
      </c>
      <c r="B9" s="2" t="s">
        <v>20</v>
      </c>
      <c r="C9" s="3">
        <v>2.2028220485229899E-2</v>
      </c>
      <c r="D9" t="s">
        <v>19</v>
      </c>
      <c r="E9" s="17" t="str">
        <f t="shared" si="0"/>
        <v>https://finance.yahoo.com/quote/EAT.WA/</v>
      </c>
      <c r="F9" s="18" t="str">
        <f t="shared" si="1"/>
        <v>Pendiente</v>
      </c>
      <c r="G9" s="19"/>
    </row>
    <row r="10" spans="1:7" ht="15" customHeight="1" x14ac:dyDescent="0.3">
      <c r="A10" s="2" t="s">
        <v>21</v>
      </c>
      <c r="B10" s="2" t="s">
        <v>23</v>
      </c>
      <c r="C10" s="3">
        <v>2.5581159273170201E-2</v>
      </c>
      <c r="D10" t="s">
        <v>22</v>
      </c>
      <c r="E10" s="17" t="str">
        <f t="shared" si="0"/>
        <v>https://finance.yahoo.com/quote/ZIG.L/</v>
      </c>
      <c r="F10" s="18" t="str">
        <f t="shared" si="1"/>
        <v>Pendiente</v>
      </c>
      <c r="G10" s="19"/>
    </row>
    <row r="11" spans="1:7" ht="15" customHeight="1" x14ac:dyDescent="0.3">
      <c r="A11" s="2" t="s">
        <v>24</v>
      </c>
      <c r="B11" s="2" t="s">
        <v>5</v>
      </c>
      <c r="C11" s="3">
        <v>2.99461983554969E-2</v>
      </c>
      <c r="D11" t="s">
        <v>105</v>
      </c>
      <c r="E11" s="17" t="str">
        <f t="shared" si="0"/>
        <v>https://finance.yahoo.com/quote/AYV.PA/</v>
      </c>
      <c r="F11" s="18" t="s">
        <v>125</v>
      </c>
      <c r="G11" s="19" t="s">
        <v>127</v>
      </c>
    </row>
    <row r="12" spans="1:7" ht="15" customHeight="1" x14ac:dyDescent="0.3">
      <c r="A12" s="2" t="s">
        <v>25</v>
      </c>
      <c r="B12" s="2" t="s">
        <v>26</v>
      </c>
      <c r="C12" s="3">
        <v>7.1058775758806199E-4</v>
      </c>
      <c r="D12" t="s">
        <v>106</v>
      </c>
      <c r="E12" s="17" t="str">
        <f t="shared" si="0"/>
        <v>https://finance.yahoo.com/quote/6989.HK/</v>
      </c>
      <c r="F12" s="18" t="s">
        <v>125</v>
      </c>
      <c r="G12" s="19" t="s">
        <v>128</v>
      </c>
    </row>
    <row r="13" spans="1:7" ht="15" customHeight="1" x14ac:dyDescent="0.3">
      <c r="A13" s="2" t="s">
        <v>27</v>
      </c>
      <c r="B13" s="2" t="s">
        <v>26</v>
      </c>
      <c r="C13" s="3">
        <v>1.7764693939701599E-2</v>
      </c>
      <c r="D13" t="s">
        <v>28</v>
      </c>
      <c r="E13" s="17" t="str">
        <f t="shared" si="0"/>
        <v>https://finance.yahoo.com/quote/3918.HK/</v>
      </c>
      <c r="F13" s="18" t="str">
        <f t="shared" si="1"/>
        <v>Pendiente</v>
      </c>
      <c r="G13" s="19"/>
    </row>
    <row r="14" spans="1:7" ht="15" customHeight="1" x14ac:dyDescent="0.3">
      <c r="A14" s="2" t="s">
        <v>29</v>
      </c>
      <c r="B14" s="2" t="s">
        <v>30</v>
      </c>
      <c r="C14" s="3">
        <v>0</v>
      </c>
      <c r="D14" t="s">
        <v>107</v>
      </c>
      <c r="E14" s="17" t="str">
        <f t="shared" si="0"/>
        <v>https://finance.yahoo.com/quote/SDRL/</v>
      </c>
      <c r="F14" s="18" t="str">
        <f t="shared" si="1"/>
        <v>Pendiente</v>
      </c>
      <c r="G14" s="19"/>
    </row>
    <row r="15" spans="1:7" ht="15" customHeight="1" x14ac:dyDescent="0.3">
      <c r="A15" s="2" t="s">
        <v>31</v>
      </c>
      <c r="B15" s="2" t="s">
        <v>26</v>
      </c>
      <c r="C15" s="3">
        <v>1.8272256623693001E-3</v>
      </c>
      <c r="D15" t="s">
        <v>108</v>
      </c>
      <c r="E15" s="17" t="str">
        <f t="shared" si="0"/>
        <v>https://finance.yahoo.com/quote/0088.HK/</v>
      </c>
      <c r="F15" s="18" t="str">
        <f t="shared" si="1"/>
        <v>Pendiente</v>
      </c>
      <c r="G15" s="19"/>
    </row>
    <row r="16" spans="1:7" ht="15" customHeight="1" x14ac:dyDescent="0.3">
      <c r="A16" s="4" t="s">
        <v>32</v>
      </c>
      <c r="B16" s="4" t="s">
        <v>30</v>
      </c>
      <c r="C16" s="5">
        <v>2.9438635671505401E-2</v>
      </c>
      <c r="D16" t="s">
        <v>33</v>
      </c>
      <c r="E16" s="17" t="str">
        <f t="shared" si="0"/>
        <v>https://finance.yahoo.com/quote/FIH-U.TO/</v>
      </c>
      <c r="F16" s="18" t="str">
        <f t="shared" si="1"/>
        <v>Pendiente</v>
      </c>
      <c r="G16" s="19"/>
    </row>
    <row r="17" spans="1:7" ht="15" customHeight="1" x14ac:dyDescent="0.3">
      <c r="A17" s="2" t="s">
        <v>34</v>
      </c>
      <c r="B17" s="2" t="s">
        <v>26</v>
      </c>
      <c r="C17" s="3">
        <v>5.6847020607045003E-3</v>
      </c>
      <c r="D17" t="s">
        <v>109</v>
      </c>
      <c r="E17" s="17" t="str">
        <f t="shared" si="0"/>
        <v>https://finance.yahoo.com/quote/0538.HK/</v>
      </c>
      <c r="F17" s="18" t="str">
        <f t="shared" si="1"/>
        <v>Pendiente</v>
      </c>
      <c r="G17" s="19"/>
    </row>
    <row r="18" spans="1:7" ht="15" customHeight="1" x14ac:dyDescent="0.3">
      <c r="A18" s="4" t="s">
        <v>35</v>
      </c>
      <c r="B18" s="4" t="s">
        <v>37</v>
      </c>
      <c r="C18" s="5">
        <v>3.8574763983351898E-2</v>
      </c>
      <c r="D18" t="s">
        <v>36</v>
      </c>
      <c r="E18" s="17" t="str">
        <f t="shared" si="0"/>
        <v>https://finance.yahoo.com/quote/TGS.OL/</v>
      </c>
      <c r="F18" s="18" t="str">
        <f t="shared" si="1"/>
        <v>Pendiente</v>
      </c>
      <c r="G18" s="19"/>
    </row>
    <row r="19" spans="1:7" ht="15" customHeight="1" x14ac:dyDescent="0.3">
      <c r="A19" s="2" t="s">
        <v>38</v>
      </c>
      <c r="B19" s="2" t="s">
        <v>5</v>
      </c>
      <c r="C19" s="3">
        <v>2.48705715155822E-2</v>
      </c>
      <c r="D19" t="s">
        <v>39</v>
      </c>
      <c r="E19" s="17" t="str">
        <f t="shared" si="0"/>
        <v>https://finance.yahoo.com/quote/AZM.MI/</v>
      </c>
      <c r="F19" s="18" t="str">
        <f t="shared" si="1"/>
        <v>Pendiente</v>
      </c>
      <c r="G19" s="19"/>
    </row>
    <row r="20" spans="1:7" ht="15" customHeight="1" x14ac:dyDescent="0.3">
      <c r="A20" s="2" t="s">
        <v>40</v>
      </c>
      <c r="B20" s="2" t="s">
        <v>42</v>
      </c>
      <c r="C20" s="3">
        <v>3.19764490914628E-2</v>
      </c>
      <c r="D20" t="s">
        <v>41</v>
      </c>
      <c r="E20" s="17" t="str">
        <f t="shared" si="0"/>
        <v>https://finance.yahoo.com/quote/ONEX.TO/</v>
      </c>
      <c r="F20" s="18" t="str">
        <f t="shared" si="1"/>
        <v>Pendiente</v>
      </c>
      <c r="G20" s="19"/>
    </row>
    <row r="21" spans="1:7" ht="15" customHeight="1" x14ac:dyDescent="0.3">
      <c r="A21" s="2" t="s">
        <v>43</v>
      </c>
      <c r="B21" s="2" t="s">
        <v>30</v>
      </c>
      <c r="C21" s="3">
        <v>1.0252766216627801E-2</v>
      </c>
      <c r="D21" t="s">
        <v>44</v>
      </c>
      <c r="E21" s="17" t="str">
        <f t="shared" si="0"/>
        <v>https://finance.yahoo.com/quote/XPRO/</v>
      </c>
      <c r="F21" s="18" t="str">
        <f t="shared" si="1"/>
        <v>Pendiente</v>
      </c>
      <c r="G21" s="19"/>
    </row>
    <row r="22" spans="1:7" ht="15" customHeight="1" x14ac:dyDescent="0.3">
      <c r="A22" s="2" t="s">
        <v>45</v>
      </c>
      <c r="B22" s="2" t="s">
        <v>37</v>
      </c>
      <c r="C22" s="3">
        <v>2.1114607654045301E-2</v>
      </c>
      <c r="D22" s="11" t="s">
        <v>117</v>
      </c>
      <c r="E22" s="17" t="str">
        <f t="shared" si="0"/>
        <v>https://finance.yahoo.com/quote/COSH.OL/</v>
      </c>
      <c r="F22" s="18" t="s">
        <v>125</v>
      </c>
      <c r="G22" s="19" t="s">
        <v>129</v>
      </c>
    </row>
    <row r="23" spans="1:7" ht="15" customHeight="1" x14ac:dyDescent="0.3">
      <c r="A23" s="2" t="s">
        <v>46</v>
      </c>
      <c r="B23" s="2" t="s">
        <v>26</v>
      </c>
      <c r="C23" s="3">
        <v>2.9438635671505402E-3</v>
      </c>
      <c r="D23" t="s">
        <v>110</v>
      </c>
      <c r="E23" s="17" t="str">
        <f t="shared" si="0"/>
        <v>https://finance.yahoo.com/quote/0184.HK/</v>
      </c>
      <c r="F23" s="18" t="str">
        <f t="shared" si="1"/>
        <v>Pendiente</v>
      </c>
      <c r="G23" s="19"/>
    </row>
    <row r="24" spans="1:7" ht="15" customHeight="1" x14ac:dyDescent="0.3">
      <c r="A24" s="2" t="s">
        <v>47</v>
      </c>
      <c r="B24" s="2" t="s">
        <v>30</v>
      </c>
      <c r="C24" s="3">
        <v>2.1622170338036699E-2</v>
      </c>
      <c r="D24" t="s">
        <v>48</v>
      </c>
      <c r="E24" s="17" t="str">
        <f t="shared" si="0"/>
        <v>https://finance.yahoo.com/quote/BKNG/</v>
      </c>
      <c r="F24" s="18" t="str">
        <f t="shared" si="1"/>
        <v>Pendiente</v>
      </c>
      <c r="G24" s="19"/>
    </row>
    <row r="25" spans="1:7" ht="15" customHeight="1" x14ac:dyDescent="0.3">
      <c r="A25" s="2" t="s">
        <v>49</v>
      </c>
      <c r="B25" s="2" t="s">
        <v>26</v>
      </c>
      <c r="C25" s="3">
        <v>2.99461983554969E-2</v>
      </c>
      <c r="D25" t="s">
        <v>111</v>
      </c>
      <c r="E25" s="17" t="str">
        <f t="shared" si="0"/>
        <v>https://finance.yahoo.com/quote/0086.HK/</v>
      </c>
      <c r="F25" s="18" t="str">
        <f t="shared" si="1"/>
        <v>Pendiente</v>
      </c>
      <c r="G25" s="19"/>
    </row>
    <row r="26" spans="1:7" ht="15" customHeight="1" x14ac:dyDescent="0.3">
      <c r="A26" s="4" t="s">
        <v>50</v>
      </c>
      <c r="B26" s="4" t="s">
        <v>5</v>
      </c>
      <c r="C26" s="5">
        <v>2.8423510303522501E-2</v>
      </c>
      <c r="D26" t="s">
        <v>51</v>
      </c>
      <c r="E26" s="17" t="str">
        <f t="shared" si="0"/>
        <v>https://finance.yahoo.com/quote/RNO.PA/</v>
      </c>
      <c r="F26" s="18" t="str">
        <f t="shared" si="1"/>
        <v>Pendiente</v>
      </c>
      <c r="G26" s="19"/>
    </row>
    <row r="27" spans="1:7" ht="15" customHeight="1" x14ac:dyDescent="0.3">
      <c r="A27" s="2" t="s">
        <v>52</v>
      </c>
      <c r="B27" s="2" t="s">
        <v>5</v>
      </c>
      <c r="C27" s="3">
        <v>1.3907217541366401E-2</v>
      </c>
      <c r="D27" t="s">
        <v>53</v>
      </c>
      <c r="E27" s="17" t="str">
        <f t="shared" si="0"/>
        <v>https://finance.yahoo.com/quote/AUB.PA/</v>
      </c>
      <c r="F27" s="18" t="str">
        <f t="shared" si="1"/>
        <v>Pendiente</v>
      </c>
      <c r="G27" s="19"/>
    </row>
    <row r="28" spans="1:7" ht="15" customHeight="1" x14ac:dyDescent="0.3">
      <c r="A28" s="2" t="s">
        <v>54</v>
      </c>
      <c r="B28" s="2" t="s">
        <v>5</v>
      </c>
      <c r="C28" s="3">
        <v>2.2535783169221401E-2</v>
      </c>
      <c r="D28" t="s">
        <v>55</v>
      </c>
      <c r="E28" s="17" t="str">
        <f t="shared" si="0"/>
        <v>https://finance.yahoo.com/quote/BMW.DE/</v>
      </c>
      <c r="F28" s="18" t="str">
        <f t="shared" si="1"/>
        <v>Pendiente</v>
      </c>
      <c r="G28" s="19"/>
    </row>
    <row r="29" spans="1:7" ht="15" customHeight="1" x14ac:dyDescent="0.3">
      <c r="A29" s="2" t="s">
        <v>56</v>
      </c>
      <c r="B29" s="2" t="s">
        <v>26</v>
      </c>
      <c r="C29" s="3">
        <v>3.0453761039488401E-4</v>
      </c>
      <c r="D29" t="s">
        <v>57</v>
      </c>
      <c r="E29" s="17" t="str">
        <f t="shared" si="0"/>
        <v>https://finance.yahoo.com/quote/2168.HK/</v>
      </c>
      <c r="F29" s="18" t="str">
        <f t="shared" si="1"/>
        <v>Pendiente</v>
      </c>
      <c r="G29" s="19"/>
    </row>
    <row r="30" spans="1:7" ht="15" customHeight="1" x14ac:dyDescent="0.3">
      <c r="A30" s="2" t="s">
        <v>58</v>
      </c>
      <c r="B30" s="2" t="s">
        <v>30</v>
      </c>
      <c r="C30" s="3">
        <v>3.3499137143437198E-2</v>
      </c>
      <c r="D30" t="s">
        <v>59</v>
      </c>
      <c r="E30" s="17" t="str">
        <f t="shared" si="0"/>
        <v>https://finance.yahoo.com/quote/LBTYK/</v>
      </c>
      <c r="F30" s="18" t="str">
        <f t="shared" si="1"/>
        <v>Pendiente</v>
      </c>
      <c r="G30" s="19"/>
    </row>
    <row r="31" spans="1:7" ht="15" customHeight="1" x14ac:dyDescent="0.3">
      <c r="A31" s="4" t="s">
        <v>60</v>
      </c>
      <c r="B31" s="4" t="s">
        <v>30</v>
      </c>
      <c r="C31" s="5">
        <v>4.2635265455283698E-2</v>
      </c>
      <c r="D31" t="s">
        <v>61</v>
      </c>
      <c r="E31" s="17" t="str">
        <f t="shared" si="0"/>
        <v>https://finance.yahoo.com/quote/NPSNY/</v>
      </c>
      <c r="F31" s="18" t="str">
        <f t="shared" si="1"/>
        <v>Pendiente</v>
      </c>
      <c r="G31" s="19"/>
    </row>
    <row r="32" spans="1:7" ht="15" customHeight="1" x14ac:dyDescent="0.3">
      <c r="A32" s="2" t="s">
        <v>62</v>
      </c>
      <c r="B32" s="2" t="s">
        <v>26</v>
      </c>
      <c r="C32" s="3">
        <v>6.0907522078976705E-4</v>
      </c>
      <c r="D32" t="s">
        <v>112</v>
      </c>
      <c r="E32" s="17" t="str">
        <f t="shared" si="0"/>
        <v>https://finance.yahoo.com/quote/0129.HK/</v>
      </c>
      <c r="F32" s="18" t="str">
        <f t="shared" si="1"/>
        <v>Pendiente</v>
      </c>
      <c r="G32" s="19"/>
    </row>
    <row r="33" spans="1:7" ht="15" customHeight="1" x14ac:dyDescent="0.3">
      <c r="A33" s="2" t="s">
        <v>63</v>
      </c>
      <c r="B33" s="2" t="s">
        <v>5</v>
      </c>
      <c r="C33" s="3">
        <v>4.0605014719317803E-3</v>
      </c>
      <c r="D33" t="s">
        <v>64</v>
      </c>
      <c r="E33" s="17" t="str">
        <f t="shared" si="0"/>
        <v>https://finance.yahoo.com/quote/APAM.AS/</v>
      </c>
      <c r="F33" s="18" t="str">
        <f t="shared" si="1"/>
        <v>Pendiente</v>
      </c>
      <c r="G33" s="19"/>
    </row>
    <row r="34" spans="1:7" ht="15" customHeight="1" x14ac:dyDescent="0.3">
      <c r="A34" s="2" t="s">
        <v>65</v>
      </c>
      <c r="B34" s="2" t="s">
        <v>26</v>
      </c>
      <c r="C34" s="3">
        <v>8.1210029438635704E-4</v>
      </c>
      <c r="D34" t="s">
        <v>66</v>
      </c>
      <c r="E34" s="17" t="str">
        <f t="shared" si="0"/>
        <v>https://finance.yahoo.com/quote/1181.HK/</v>
      </c>
      <c r="F34" s="18" t="str">
        <f t="shared" si="1"/>
        <v>Pendiente</v>
      </c>
      <c r="G34" s="19"/>
    </row>
    <row r="35" spans="1:7" ht="15" customHeight="1" x14ac:dyDescent="0.3">
      <c r="A35" s="4" t="s">
        <v>67</v>
      </c>
      <c r="B35" s="4" t="s">
        <v>5</v>
      </c>
      <c r="C35" s="5">
        <v>3.1468886407471301E-2</v>
      </c>
      <c r="D35" t="s">
        <v>68</v>
      </c>
      <c r="E35" s="17" t="str">
        <f t="shared" si="0"/>
        <v>https://finance.yahoo.com/quote/SOP.PA/</v>
      </c>
      <c r="F35" s="18" t="str">
        <f t="shared" si="1"/>
        <v>Pendiente</v>
      </c>
      <c r="G35" s="19"/>
    </row>
    <row r="36" spans="1:7" ht="15" customHeight="1" x14ac:dyDescent="0.3">
      <c r="A36" s="2" t="s">
        <v>69</v>
      </c>
      <c r="B36" s="2" t="s">
        <v>30</v>
      </c>
      <c r="C36" s="3">
        <v>3.3499137143437198E-2</v>
      </c>
      <c r="D36" t="s">
        <v>70</v>
      </c>
      <c r="E36" s="17" t="str">
        <f t="shared" si="0"/>
        <v>https://finance.yahoo.com/quote/PYPL/</v>
      </c>
      <c r="F36" s="18" t="str">
        <f t="shared" si="1"/>
        <v>Pendiente</v>
      </c>
      <c r="G36" s="19"/>
    </row>
    <row r="37" spans="1:7" ht="15" customHeight="1" x14ac:dyDescent="0.3">
      <c r="A37" s="2" t="s">
        <v>71</v>
      </c>
      <c r="B37" s="2" t="s">
        <v>23</v>
      </c>
      <c r="C37" s="3">
        <v>0</v>
      </c>
      <c r="D37" t="s">
        <v>72</v>
      </c>
      <c r="E37" s="17" t="str">
        <f t="shared" si="0"/>
        <v>https://finance.yahoo.com/quote/JUP.L/</v>
      </c>
      <c r="F37" s="18" t="str">
        <f t="shared" si="1"/>
        <v>Pendiente</v>
      </c>
      <c r="G37" s="19"/>
    </row>
    <row r="38" spans="1:7" ht="15" customHeight="1" x14ac:dyDescent="0.3">
      <c r="A38" s="2" t="s">
        <v>73</v>
      </c>
      <c r="B38" s="2" t="s">
        <v>26</v>
      </c>
      <c r="C38" s="3">
        <v>7.1058775758806199E-4</v>
      </c>
      <c r="D38" t="s">
        <v>113</v>
      </c>
      <c r="E38" s="17" t="str">
        <f t="shared" si="0"/>
        <v>https://finance.yahoo.com/quote/2033.HK/</v>
      </c>
      <c r="F38" s="18" t="str">
        <f t="shared" si="1"/>
        <v>Pendiente</v>
      </c>
      <c r="G38" s="19"/>
    </row>
    <row r="39" spans="1:7" ht="15" customHeight="1" x14ac:dyDescent="0.3">
      <c r="A39" s="2" t="s">
        <v>74</v>
      </c>
      <c r="B39" s="2" t="s">
        <v>5</v>
      </c>
      <c r="C39" s="3">
        <v>2.8118972693127599E-2</v>
      </c>
      <c r="D39" t="s">
        <v>75</v>
      </c>
      <c r="E39" s="17" t="str">
        <f t="shared" si="0"/>
        <v>https://finance.yahoo.com/quote/SEM.LS/</v>
      </c>
      <c r="F39" s="18" t="s">
        <v>125</v>
      </c>
      <c r="G39" s="19" t="s">
        <v>130</v>
      </c>
    </row>
    <row r="40" spans="1:7" ht="15" customHeight="1" x14ac:dyDescent="0.3">
      <c r="A40" s="4" t="s">
        <v>76</v>
      </c>
      <c r="B40" s="4" t="s">
        <v>5</v>
      </c>
      <c r="C40" s="5">
        <v>2.9438635671505401E-2</v>
      </c>
      <c r="D40" t="s">
        <v>114</v>
      </c>
      <c r="E40" s="17" t="str">
        <f t="shared" si="0"/>
        <v>https://finance.yahoo.com/quote/EXO.AS/</v>
      </c>
      <c r="F40" s="18" t="str">
        <f t="shared" si="1"/>
        <v>Pendiente</v>
      </c>
      <c r="G40" s="19"/>
    </row>
    <row r="41" spans="1:7" ht="15" customHeight="1" x14ac:dyDescent="0.3">
      <c r="A41" s="2" t="s">
        <v>77</v>
      </c>
      <c r="B41" s="2" t="s">
        <v>5</v>
      </c>
      <c r="C41" s="3">
        <v>1.9287381991676001E-2</v>
      </c>
      <c r="D41" t="s">
        <v>78</v>
      </c>
      <c r="E41" s="17" t="str">
        <f t="shared" si="0"/>
        <v>https://finance.yahoo.com/quote/ANTIN.PA/</v>
      </c>
      <c r="F41" s="18" t="str">
        <f t="shared" si="1"/>
        <v>Pendiente</v>
      </c>
      <c r="G41" s="19"/>
    </row>
    <row r="42" spans="1:7" ht="15" customHeight="1" x14ac:dyDescent="0.3">
      <c r="A42" s="2" t="s">
        <v>79</v>
      </c>
      <c r="B42" s="2" t="s">
        <v>30</v>
      </c>
      <c r="C42" s="3">
        <v>2.0404019896457199E-2</v>
      </c>
      <c r="D42" t="s">
        <v>115</v>
      </c>
      <c r="E42" s="17" t="str">
        <f t="shared" si="0"/>
        <v>https://finance.yahoo.com/quote/GLIBK/</v>
      </c>
      <c r="F42" s="18" t="s">
        <v>125</v>
      </c>
      <c r="G42" s="19" t="s">
        <v>131</v>
      </c>
    </row>
    <row r="43" spans="1:7" ht="15" customHeight="1" x14ac:dyDescent="0.3">
      <c r="A43" s="4" t="s">
        <v>80</v>
      </c>
      <c r="B43" s="4" t="s">
        <v>5</v>
      </c>
      <c r="C43" s="5">
        <v>5.1771393767130199E-2</v>
      </c>
      <c r="D43" t="s">
        <v>81</v>
      </c>
      <c r="E43" s="17" t="str">
        <f t="shared" si="0"/>
        <v>https://finance.yahoo.com/quote/PLX.PA/</v>
      </c>
      <c r="F43" s="18" t="str">
        <f t="shared" si="1"/>
        <v>Pendiente</v>
      </c>
      <c r="G43" s="19"/>
    </row>
    <row r="44" spans="1:7" ht="15" customHeight="1" x14ac:dyDescent="0.3">
      <c r="A44" s="2" t="s">
        <v>82</v>
      </c>
      <c r="B44" s="2" t="s">
        <v>5</v>
      </c>
      <c r="C44" s="3">
        <v>1.7764693939701599E-2</v>
      </c>
      <c r="D44" t="s">
        <v>83</v>
      </c>
      <c r="E44" s="17" t="str">
        <f t="shared" si="0"/>
        <v>https://finance.yahoo.com/quote/LNA.PA/</v>
      </c>
      <c r="F44" s="18" t="str">
        <f t="shared" si="1"/>
        <v>Pendiente</v>
      </c>
      <c r="G44" s="19"/>
    </row>
    <row r="45" spans="1:7" ht="15" customHeight="1" x14ac:dyDescent="0.3">
      <c r="A45" s="2" t="s">
        <v>84</v>
      </c>
      <c r="B45" s="2" t="s">
        <v>26</v>
      </c>
      <c r="C45" s="3">
        <v>1.0151253679829501E-3</v>
      </c>
      <c r="D45" s="11" t="s">
        <v>118</v>
      </c>
      <c r="E45" s="17" t="str">
        <f t="shared" si="0"/>
        <v>https://finance.yahoo.com/quote/3662.HK/</v>
      </c>
      <c r="F45" s="18" t="s">
        <v>125</v>
      </c>
      <c r="G45" s="19" t="s">
        <v>132</v>
      </c>
    </row>
    <row r="46" spans="1:7" ht="15" customHeight="1" x14ac:dyDescent="0.3">
      <c r="A46" s="2" t="s">
        <v>85</v>
      </c>
      <c r="B46" s="2" t="s">
        <v>23</v>
      </c>
      <c r="C46" s="3">
        <v>0</v>
      </c>
      <c r="D46" t="s">
        <v>86</v>
      </c>
      <c r="E46" s="17" t="str">
        <f t="shared" si="0"/>
        <v>https://finance.yahoo.com/quote/ZEG.L/</v>
      </c>
      <c r="F46" s="18" t="str">
        <f t="shared" si="1"/>
        <v>Pendiente</v>
      </c>
      <c r="G46" s="19"/>
    </row>
    <row r="47" spans="1:7" ht="15" customHeight="1" x14ac:dyDescent="0.3">
      <c r="A47" s="2" t="s">
        <v>87</v>
      </c>
      <c r="B47" s="2" t="s">
        <v>5</v>
      </c>
      <c r="C47" s="3">
        <v>0</v>
      </c>
      <c r="D47" t="s">
        <v>88</v>
      </c>
      <c r="E47" s="17" t="str">
        <f t="shared" si="0"/>
        <v>https://finance.yahoo.com/quote/SON.LS/</v>
      </c>
      <c r="F47" s="18" t="str">
        <f t="shared" si="1"/>
        <v>Pendiente</v>
      </c>
      <c r="G47" s="19"/>
    </row>
    <row r="48" spans="1:7" ht="15" customHeight="1" x14ac:dyDescent="0.3">
      <c r="A48" s="2" t="s">
        <v>89</v>
      </c>
      <c r="B48" s="2" t="s">
        <v>5</v>
      </c>
      <c r="C48" s="3">
        <v>1.6343518424525399E-2</v>
      </c>
      <c r="D48" t="s">
        <v>90</v>
      </c>
      <c r="E48" s="17" t="str">
        <f t="shared" si="0"/>
        <v>https://finance.yahoo.com/quote/ALGIL.PA/</v>
      </c>
      <c r="F48" s="18" t="str">
        <f t="shared" si="1"/>
        <v>Pendiente</v>
      </c>
      <c r="G48" s="19"/>
    </row>
    <row r="49" spans="1:7" ht="15" customHeight="1" x14ac:dyDescent="0.3">
      <c r="A49" s="2" t="s">
        <v>91</v>
      </c>
      <c r="B49" s="2" t="s">
        <v>5</v>
      </c>
      <c r="C49" s="3">
        <v>2.3043345853212899E-2</v>
      </c>
      <c r="D49" s="12" t="s">
        <v>119</v>
      </c>
      <c r="E49" s="17" t="str">
        <f t="shared" si="0"/>
        <v>https://finance.yahoo.com/quote/CIR.MI/</v>
      </c>
      <c r="F49" s="18" t="s">
        <v>125</v>
      </c>
      <c r="G49" s="19" t="s">
        <v>133</v>
      </c>
    </row>
    <row r="50" spans="1:7" ht="15" customHeight="1" x14ac:dyDescent="0.3">
      <c r="A50" s="2" t="s">
        <v>92</v>
      </c>
      <c r="B50" s="2" t="s">
        <v>5</v>
      </c>
      <c r="C50" s="3">
        <v>2.1723682874835001E-2</v>
      </c>
      <c r="D50" t="s">
        <v>93</v>
      </c>
      <c r="E50" s="17" t="str">
        <f t="shared" si="0"/>
        <v>https://finance.yahoo.com/quote/VRLA.PA/</v>
      </c>
      <c r="F50" s="18" t="str">
        <f t="shared" si="1"/>
        <v>Pendiente</v>
      </c>
      <c r="G50" s="19"/>
    </row>
    <row r="51" spans="1:7" ht="15" customHeight="1" x14ac:dyDescent="0.3">
      <c r="A51" s="2" t="s">
        <v>94</v>
      </c>
      <c r="B51" s="2" t="s">
        <v>30</v>
      </c>
      <c r="C51" s="3">
        <v>0</v>
      </c>
      <c r="D51" t="s">
        <v>95</v>
      </c>
      <c r="E51" s="17" t="str">
        <f t="shared" si="0"/>
        <v>https://finance.yahoo.com/quote/NOAH/</v>
      </c>
      <c r="F51" s="18" t="str">
        <f t="shared" si="1"/>
        <v>Pendiente</v>
      </c>
      <c r="G51" s="19"/>
    </row>
    <row r="52" spans="1:7" ht="15" customHeight="1" x14ac:dyDescent="0.3">
      <c r="A52" s="4" t="s">
        <v>97</v>
      </c>
      <c r="B52" s="4" t="s">
        <v>98</v>
      </c>
      <c r="C52" s="5">
        <v>3.3499137143437198E-2</v>
      </c>
      <c r="D52" t="s">
        <v>116</v>
      </c>
      <c r="E52" s="17" t="str">
        <f t="shared" si="0"/>
        <v>https://finance.yahoo.com/quote/SUZB3.SA/</v>
      </c>
      <c r="F52" s="18" t="str">
        <f t="shared" si="1"/>
        <v>Pendiente</v>
      </c>
      <c r="G52" s="19"/>
    </row>
    <row r="53" spans="1:7" ht="15" customHeight="1" x14ac:dyDescent="0.3">
      <c r="A53" s="2" t="s">
        <v>99</v>
      </c>
      <c r="B53" s="2" t="s">
        <v>5</v>
      </c>
      <c r="C53" s="3">
        <v>2.2332758095624801E-2</v>
      </c>
      <c r="D53" t="s">
        <v>100</v>
      </c>
      <c r="E53" s="17" t="str">
        <f t="shared" si="0"/>
        <v>https://finance.yahoo.com/quote/BOL.PA/</v>
      </c>
      <c r="F53" s="18" t="str">
        <f t="shared" si="1"/>
        <v>Pendiente</v>
      </c>
      <c r="G53" s="19"/>
    </row>
    <row r="54" spans="1:7" ht="15" customHeight="1" x14ac:dyDescent="0.3">
      <c r="A54" s="2" t="s">
        <v>101</v>
      </c>
      <c r="B54" s="2" t="s">
        <v>5</v>
      </c>
      <c r="C54" s="3">
        <v>1.5226880519744201E-2</v>
      </c>
      <c r="D54" t="s">
        <v>102</v>
      </c>
      <c r="E54" s="17" t="str">
        <f t="shared" si="0"/>
        <v>https://finance.yahoo.com/quote/ODET.PA/</v>
      </c>
      <c r="F54" s="18" t="str">
        <f t="shared" si="1"/>
        <v>Pendiente</v>
      </c>
      <c r="G54" s="19"/>
    </row>
    <row r="55" spans="1:7" ht="15" customHeight="1" x14ac:dyDescent="0.3">
      <c r="A55" s="6" t="s">
        <v>103</v>
      </c>
      <c r="B55" s="6" t="s">
        <v>5</v>
      </c>
      <c r="C55" s="7">
        <v>3.4311237437823598E-2</v>
      </c>
      <c r="D55" t="s">
        <v>96</v>
      </c>
      <c r="E55" s="17" t="str">
        <f t="shared" si="0"/>
        <v/>
      </c>
      <c r="F55" s="18" t="str">
        <f t="shared" si="1"/>
        <v>No cotiza</v>
      </c>
      <c r="G55" s="19"/>
    </row>
  </sheetData>
  <conditionalFormatting sqref="F2:F55">
    <cfRule type="containsText" dxfId="3" priority="1" operator="containsText" text="OK">
      <formula>NOT(ISERROR(SEARCH("OK",F2)))</formula>
    </cfRule>
  </conditionalFormatting>
  <conditionalFormatting sqref="F2:F55">
    <cfRule type="containsText" dxfId="2" priority="2" operator="containsText" text="Revisar">
      <formula>NOT(ISERROR(SEARCH("Revisar",F2)))</formula>
    </cfRule>
  </conditionalFormatting>
  <conditionalFormatting sqref="F2:F55">
    <cfRule type="containsText" dxfId="1" priority="3" operator="containsText" text="Renombrado">
      <formula>NOT(ISERROR(SEARCH("Renombrado",F2)))</formula>
    </cfRule>
  </conditionalFormatting>
  <conditionalFormatting sqref="F2:F55">
    <cfRule type="containsText" dxfId="0" priority="4" operator="containsText" text="Pendiente">
      <formula>NOT(ISERROR(SEARCH("Pendiente",F2)))</formula>
    </cfRule>
  </conditionalFormatting>
  <dataValidations count="1">
    <dataValidation type="list" allowBlank="1" showInputMessage="1" showErrorMessage="1" sqref="F2:F55" xr:uid="{8D58CFE9-440E-4E97-BE58-68B473EE7BD2}">
      <formula1>"OK,Revisar,Renombrado,Pendiente,No cotiza"</formula1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B3273D-149F-4BCA-8360-D06888450D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Texto mostrado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sergio de santiago</cp:lastModifiedBy>
  <cp:revision>0</cp:revision>
  <dcterms:created xsi:type="dcterms:W3CDTF">2026-07-24T10:04:46Z</dcterms:created>
  <dcterms:modified xsi:type="dcterms:W3CDTF">2026-07-28T20:46:18Z</dcterms:modified>
  <dc:language>en-US</dc:language>
</cp:coreProperties>
</file>